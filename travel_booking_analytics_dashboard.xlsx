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f1b63aac7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3a5700128b4461"/>
    <x:sheet xmlns:r="http://schemas.openxmlformats.org/officeDocument/2006/relationships" name="Analysis Data" sheetId="2" r:id="R0f019f28023c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0.0%"/>
    <x:numFmt numFmtId="203" formatCode="0.00"/>
  </x:numFmts>
  <x:fonts count="9">
    <x:font>
      <x:sz val="11"/>
      <x:name val="Carlito"/>
    </x:font>
    <x:font>
      <x:b/>
      <x:sz val="14"/>
      <x:color rgb="FF17365D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8"/>
      <x:color rgb="FF243447"/>
      <x:name val="Arial"/>
    </x:font>
    <x:font>
      <x:b/>
      <x:sz val="10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9">
    <x:border/>
    <x:border>
      <x:left style="thin">
        <x:color rgb="FFCCD5DF"/>
      </x:left>
      <x:top style="thin">
        <x:color rgb="FFCCD5DF"/>
      </x:top>
    </x:border>
    <x:border>
      <x:top style="thin">
        <x:color rgb="FFCCD5DF"/>
      </x:top>
    </x:border>
    <x:border>
      <x:right style="thin">
        <x:color rgb="FFCCD5DF"/>
      </x:right>
      <x:top style="thin">
        <x:color rgb="FFCCD5DF"/>
      </x:top>
    </x:border>
    <x:border>
      <x:left style="thin">
        <x:color rgb="FFCCD5DF"/>
      </x:left>
    </x:border>
    <x:border>
      <x:right style="thin">
        <x:color rgb="FFCCD5DF"/>
      </x:right>
    </x:border>
    <x:border>
      <x:left style="thin">
        <x:color rgb="FFCCD5DF"/>
      </x:left>
      <x:bottom style="thin">
        <x:color rgb="FFCCD5DF"/>
      </x:bottom>
    </x:border>
    <x:border>
      <x:bottom style="thin">
        <x:color rgb="FFCCD5DF"/>
      </x:bottom>
    </x:border>
    <x:border>
      <x:right style="thin">
        <x:color rgb="FFCCD5DF"/>
      </x:right>
      <x:bottom style="thin">
        <x:color rgb="FFCCD5D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201" fontId="7" fillId="4" borderId="0" xfId="0" applyNumberFormat="1" applyFont="1" applyFill="1" applyBorder="1" applyAlignment="1">
      <x:alignment horizontal="center" vertical="center"/>
    </x:xf>
    <x:xf numFmtId="202" fontId="7" fillId="4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8" fillId="0" borderId="4" xfId="0" applyNumberFormat="1" applyFont="1" applyFill="1" applyBorder="1"/>
    <x:xf numFmtId="0" fontId="0" fillId="0" borderId="5" xfId="0" applyNumberFormat="1" applyFont="1" applyFill="1" applyBorder="1" applyAlignment="1">
      <x:alignment wrapText="0"/>
    </x:xf>
    <x:xf numFmtId="0" fontId="8" fillId="0" borderId="6" xfId="0" applyNumberFormat="1" applyFont="1" applyFill="1" applyBorder="1"/>
    <x:xf numFmtId="0" fontId="4" fillId="0" borderId="7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99f59e41c4d06" /><Relationship Type="http://schemas.openxmlformats.org/officeDocument/2006/relationships/theme" Target="/xl/theme/theme1.xml" Id="R047c84319b8244ea" /><Relationship Type="http://schemas.openxmlformats.org/officeDocument/2006/relationships/sharedStrings" Target="/xl/sharedStrings.xml" Id="Rf56136229b7842d7" /><Relationship Type="http://schemas.openxmlformats.org/officeDocument/2006/relationships/worksheet" Target="/xl/worksheets/sheet1.xml" Id="Re83a5700128b4461" /><Relationship Type="http://schemas.openxmlformats.org/officeDocument/2006/relationships/worksheet" Target="/xl/worksheets/sheet2.xml" Id="R0f019f28023c48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564c7dcdc942aa" /><Relationship Type="http://schemas.openxmlformats.org/officeDocument/2006/relationships/chart" Target="/xl/drawings/charts/chart2.xml" Id="R020895e6e2d04a57" /><Relationship Type="http://schemas.openxmlformats.org/officeDocument/2006/relationships/chart" Target="/xl/drawings/charts/chart3.xml" Id="Re0d03eb5b22641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booking demand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Bookings</c:v>
          </c:tx>
          <c:marker>
            <c:symbol val="none"/>
          </c:marker>
          <c:cat>
            <c:strRef>
              <c:f>'Analysis Data'!$A$5:$A$30</c:f>
              <c:strCache>
                <c:ptCount val="0"/>
              </c:strCache>
            </c:strRef>
          </c:cat>
          <c:val>
            <c:numRef>
              <c:f>'Analysis Data'!$B$5:$B$30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Cancellation rate by lead 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Cancellation rate</c:v>
          </c:tx>
          <c:cat>
            <c:strRef>
              <c:f>'Analysis Data'!$J$5:$J$9</c:f>
              <c:strCache>
                <c:ptCount val="0"/>
              </c:strCache>
            </c:strRef>
          </c:cat>
          <c:val>
            <c:numRef>
              <c:f>'Analysis Data'!$M$5:$M$9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Bookings by market segment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Bookings</c:v>
          </c:tx>
          <c:cat>
            <c:strRef>
              <c:f>'Analysis Data'!$O$5:$O$12</c:f>
              <c:strCache>
                <c:ptCount val="0"/>
              </c:strCache>
            </c:strRef>
          </c:cat>
          <c:val>
            <c:numRef>
              <c:f>'Analysis Data'!$P$5:$P$12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564c7dcdc942aa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0895e6e2d04a57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d03eb5b22641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720b03377348f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2" t="str">
        <x:v>Travel Booking Analytics &amp; Demand Intelligence</x:v>
      </x:c>
      <x:c r="B1" s="12"/>
      <x:c r="C1" s="12"/>
      <x:c r="D1" s="12"/>
      <x:c r="E1" s="12"/>
      <x:c r="F1" s="12"/>
      <x:c r="G1" s="12"/>
      <x:c r="H1" s="12"/>
    </x:row>
    <x:row r="2">
      <x:c r="A2" s="2" t="str">
        <x:v>Fictional travel-company case using the supplied public booking dataset. ADR is a daily-rate indicator, not total revenue.</x:v>
      </x:c>
      <x:c r="B2" s="2"/>
      <x:c r="C2" s="2"/>
      <x:c r="D2" s="2"/>
      <x:c r="E2" s="2"/>
      <x:c r="F2" s="2"/>
      <x:c r="G2" s="2"/>
      <x:c r="H2" s="2"/>
    </x:row>
    <x:row r="4">
      <x:c r="A4" s="16" t="str">
        <x:v>Total bookings</x:v>
      </x:c>
      <x:c r="B4" s="16"/>
      <x:c r="C4" s="16" t="str">
        <x:v>Cancellation rate</x:v>
      </x:c>
      <x:c r="D4" s="16"/>
      <x:c r="E4" s="16" t="str">
        <x:v>Average ADR</x:v>
      </x:c>
      <x:c r="F4" s="16"/>
      <x:c r="G4" s="16" t="str">
        <x:v>Average stay (nights)</x:v>
      </x:c>
      <x:c r="H4" s="16"/>
    </x:row>
    <x:row r="5">
      <x:c r="A5" s="21" t="n">
        <x:f>SUM('Analysis Data'!B5:B30)</x:f>
        <x:v>87395</x:v>
      </x:c>
      <x:c r="B5" s="21"/>
      <x:c r="C5" s="22" t="n">
        <x:f>SUM('Analysis Data'!C5:C30)/SUM('Analysis Data'!B5:B30)</x:f>
        <x:v>0.2748898678414097</x:v>
      </x:c>
      <x:c r="D5" s="22"/>
      <x:c r="E5" s="23" t="n">
        <x:f>SUM('Analysis Data'!D5:D30)/SUM('Analysis Data'!E5:E30)</x:f>
        <x:v>106.27796381902647</x:v>
      </x:c>
      <x:c r="F5" s="23"/>
      <x:c r="G5" s="23" t="n">
        <x:f>SUM('Analysis Data'!F5:F30)/SUM('Analysis Data'!B5:B30)</x:f>
        <x:v>3.6306882544768007</x:v>
      </x:c>
      <x:c r="H5" s="23"/>
    </x:row>
    <x:row r="6">
      <x:c r="A6" s="21"/>
      <x:c r="B6" s="21"/>
      <x:c r="C6" s="22"/>
      <x:c r="D6" s="22"/>
      <x:c r="E6" s="23"/>
      <x:c r="F6" s="23"/>
      <x:c r="G6" s="23"/>
      <x:c r="H6" s="23"/>
    </x:row>
    <x:row r="26">
      <x:c r="A26" s="27" t="str">
        <x:v>Project finding</x:v>
      </x:c>
      <x:c r="B26" s="28" t="str">
        <x:v>Evidence</x:v>
      </x:c>
      <x:c r="C26" s="28"/>
      <x:c r="D26" s="28"/>
      <x:c r="E26" s="28"/>
      <x:c r="F26" s="28"/>
      <x:c r="G26" s="28"/>
      <x:c r="H26" s="29"/>
    </x:row>
    <x:row r="27" ht="24" customHeight="1">
      <x:c r="A27" s="30" t="str">
        <x:v>Lead time and cancellations</x:v>
      </x:c>
      <x:c r="B27" s="25" t="str">
        <x:v>Cancellation rate rises across the lead-time groups in this dataset.</x:v>
      </x:c>
      <x:c r="C27" s="26"/>
      <x:c r="D27" s="26"/>
      <x:c r="E27" s="26"/>
      <x:c r="F27" s="26"/>
      <x:c r="G27" s="26"/>
      <x:c r="H27" s="31"/>
    </x:row>
    <x:row r="28" ht="24" customHeight="1">
      <x:c r="A28" s="30" t="str">
        <x:v>Repeat guests</x:v>
      </x:c>
      <x:c r="B28" s="25" t="str">
        <x:v>Repeat-guest bookings have a lower cancellation rate than new-guest bookings.</x:v>
      </x:c>
      <x:c r="C28" s="26"/>
      <x:c r="D28" s="26"/>
      <x:c r="E28" s="26"/>
      <x:c r="F28" s="26"/>
      <x:c r="G28" s="26"/>
      <x:c r="H28" s="31"/>
    </x:row>
    <x:row r="29" ht="24" customHeight="1">
      <x:c r="A29" s="32" t="str">
        <x:v>Market segments</x:v>
      </x:c>
      <x:c r="B29" s="33" t="str">
        <x:v>Online TA has the largest booking volume and an elevated cancellation rate.</x:v>
      </x:c>
      <x:c r="C29" s="34"/>
      <x:c r="D29" s="34"/>
      <x:c r="E29" s="34"/>
      <x:c r="F29" s="34"/>
      <x:c r="G29" s="34"/>
      <x:c r="H29" s="35"/>
    </x:row>
  </x:sheetData>
  <x:mergeCells>
    <x:mergeCell ref="A4:B4"/>
    <x:mergeCell ref="A5:B6"/>
    <x:mergeCell ref="C4:D4"/>
    <x:mergeCell ref="C5:D6"/>
    <x:mergeCell ref="E4:F4"/>
    <x:mergeCell ref="E5:F6"/>
    <x:mergeCell ref="G4:H4"/>
    <x:mergeCell ref="G5:H6"/>
    <x:mergeCell ref="B26:H26"/>
    <x:mergeCell ref="B27:H27"/>
    <x:mergeCell ref="B28:H28"/>
    <x:mergeCell ref="B29:H29"/>
  </x:mergeCells>
  <x:pageMargins left="0.7" right="0.7" top="0.75" bottom="0.75" header="0.3" footer="0.3"/>
  <x:drawing xmlns:r="http://schemas.openxmlformats.org/officeDocument/2006/relationships" r:id="R51720b03377348f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3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1" t="str">
        <x:v>Travel Booking Analytics — supporting summaries</x:v>
      </x:c>
      <x:c r="B1" s="1"/>
      <x:c r="C1" s="1"/>
      <x:c r="D1" s="1"/>
      <x:c r="E1" s="1"/>
      <x:c r="F1" s="1"/>
      <x:c r="G1" s="1"/>
      <x:c r="H1" s="1"/>
    </x:row>
    <x:row r="2">
      <x:c r="A2" s="2" t="str">
        <x:v>Monthly summary. Booking-level source: user-provided cleaned travel booking data.</x:v>
      </x:c>
      <x:c r="B2" s="2"/>
      <x:c r="C2" s="2"/>
      <x:c r="D2" s="2"/>
      <x:c r="E2" s="2"/>
      <x:c r="F2" s="2"/>
      <x:c r="G2" s="2"/>
      <x:c r="H2" s="2"/>
    </x:row>
    <x:row r="4" ht="30" customHeight="1">
      <x:c r="A4" s="6" t="str">
        <x:v>Arrival month</x:v>
      </x:c>
      <x:c r="B4" s="6" t="str">
        <x:v>Bookings</x:v>
      </x:c>
      <x:c r="C4" s="6" t="str">
        <x:v>Cancellations</x:v>
      </x:c>
      <x:c r="D4" s="6" t="str">
        <x:v>ADR total</x:v>
      </x:c>
      <x:c r="E4" s="6" t="str">
        <x:v>ADR records</x:v>
      </x:c>
      <x:c r="F4" s="6" t="str">
        <x:v>Nights total</x:v>
      </x:c>
      <x:c r="G4" s="6" t="str">
        <x:v>Cancellation rate</x:v>
      </x:c>
      <x:c r="H4" s="6" t="str">
        <x:v>Average ADR</x:v>
      </x:c>
      <x:c r="J4" s="6" t="str">
        <x:v>Lead-time group</x:v>
      </x:c>
      <x:c r="K4" s="6" t="str">
        <x:v>Bookings</x:v>
      </x:c>
      <x:c r="L4" s="6" t="str">
        <x:v>Cancellations</x:v>
      </x:c>
      <x:c r="M4" s="6" t="str">
        <x:v>Cancellation rate</x:v>
      </x:c>
      <x:c r="O4" s="6" t="str">
        <x:v>Market segment</x:v>
      </x:c>
      <x:c r="P4" s="6" t="str">
        <x:v>Bookings</x:v>
      </x:c>
      <x:c r="Q4" s="6" t="str">
        <x:v>Cancellations</x:v>
      </x:c>
      <x:c r="R4" s="6" t="str">
        <x:v>Cancellation rate</x:v>
      </x:c>
    </x:row>
    <x:row r="5">
      <x:c r="A5" s="7" t="str">
        <x:v>2015-07</x:v>
      </x:c>
      <x:c r="B5" s="9" t="n">
        <x:v>1674</x:v>
      </x:c>
      <x:c r="C5" s="9" t="n">
        <x:v>512</x:v>
      </x:c>
      <x:c r="D5" s="8" t="n">
        <x:v>188156.56</x:v>
      </x:c>
      <x:c r="E5" s="9" t="n">
        <x:v>1674</x:v>
      </x:c>
      <x:c r="F5" s="9" t="n">
        <x:v>7929</x:v>
      </x:c>
      <x:c r="G5" s="10" t="n">
        <x:f>C5/B5</x:f>
        <x:v>0.3058542413381123</x:v>
      </x:c>
      <x:c r="H5" s="11" t="n">
        <x:f>D5/E5</x:f>
        <x:v>112.39937873357228</x:v>
      </x:c>
      <x:c r="I5" s="7"/>
      <x:c r="J5" s="7" t="str">
        <x:v>0–7 days</x:v>
      </x:c>
      <x:c r="K5" s="9" t="n">
        <x:v>18304</x:v>
      </x:c>
      <x:c r="L5" s="9" t="n">
        <x:v>1543</x:v>
      </x:c>
      <x:c r="M5" s="10" t="n">
        <x:f>L5/K5</x:f>
        <x:v>0.08429851398601398</x:v>
      </x:c>
      <x:c r="N5" s="7"/>
      <x:c r="O5" s="7" t="str">
        <x:v>Online TA</x:v>
      </x:c>
      <x:c r="P5" s="9" t="n">
        <x:v>51618</x:v>
      </x:c>
      <x:c r="Q5" s="9" t="n">
        <x:v>18245</x:v>
      </x:c>
      <x:c r="R5" s="10" t="n">
        <x:f>Q5/P5</x:f>
        <x:v>0.35346197063040025</x:v>
      </x:c>
    </x:row>
    <x:row r="6">
      <x:c r="A6" s="7" t="str">
        <x:v>2015-08</x:v>
      </x:c>
      <x:c r="B6" s="9" t="n">
        <x:v>2453</x:v>
      </x:c>
      <x:c r="C6" s="9" t="n">
        <x:v>571</x:v>
      </x:c>
      <x:c r="D6" s="8" t="n">
        <x:v>301705.24</x:v>
      </x:c>
      <x:c r="E6" s="9" t="n">
        <x:v>2453</x:v>
      </x:c>
      <x:c r="F6" s="9" t="n">
        <x:v>10662</x:v>
      </x:c>
      <x:c r="G6" s="10" t="n">
        <x:f>C6/B6</x:f>
        <x:v>0.232776192417448</x:v>
      </x:c>
      <x:c r="H6" s="11" t="n">
        <x:f>D6/E6</x:f>
        <x:v>122.99439054219323</x:v>
      </x:c>
      <x:c r="I6" s="7"/>
      <x:c r="J6" s="7" t="str">
        <x:v>8–30 days</x:v>
      </x:c>
      <x:c r="K6" s="9" t="n">
        <x:v>16340</x:v>
      </x:c>
      <x:c r="L6" s="9" t="n">
        <x:v>4145</x:v>
      </x:c>
      <x:c r="M6" s="10" t="n">
        <x:f>L6/K6</x:f>
        <x:v>0.253671970624235</x:v>
      </x:c>
      <x:c r="N6" s="7"/>
      <x:c r="O6" s="7" t="str">
        <x:v>Offline TA/TO</x:v>
      </x:c>
      <x:c r="P6" s="9" t="n">
        <x:v>13888</x:v>
      </x:c>
      <x:c r="Q6" s="9" t="n">
        <x:v>2062</x:v>
      </x:c>
      <x:c r="R6" s="10" t="n">
        <x:f>Q6/P6</x:f>
        <x:v>0.14847350230414746</x:v>
      </x:c>
    </x:row>
    <x:row r="7">
      <x:c r="A7" s="7" t="str">
        <x:v>2015-09</x:v>
      </x:c>
      <x:c r="B7" s="9" t="n">
        <x:v>2839</x:v>
      </x:c>
      <x:c r="C7" s="9" t="n">
        <x:v>566</x:v>
      </x:c>
      <x:c r="D7" s="8" t="n">
        <x:v>283554.18</x:v>
      </x:c>
      <x:c r="E7" s="9" t="n">
        <x:v>2839</x:v>
      </x:c>
      <x:c r="F7" s="9" t="n">
        <x:v>11193</x:v>
      </x:c>
      <x:c r="G7" s="10" t="n">
        <x:f>C7/B7</x:f>
        <x:v>0.19936597393448396</x:v>
      </x:c>
      <x:c r="H7" s="11" t="n">
        <x:f>D7/E7</x:f>
        <x:v>99.87818950334625</x:v>
      </x:c>
      <x:c r="I7" s="7"/>
      <x:c r="J7" s="7" t="str">
        <x:v>31–90 days</x:v>
      </x:c>
      <x:c r="K7" s="9" t="n">
        <x:v>22743</x:v>
      </x:c>
      <x:c r="L7" s="9" t="n">
        <x:v>7279</x:v>
      </x:c>
      <x:c r="M7" s="10" t="n">
        <x:f>L7/K7</x:f>
        <x:v>0.3200545222705887</x:v>
      </x:c>
      <x:c r="N7" s="7"/>
      <x:c r="O7" s="7" t="str">
        <x:v>Direct</x:v>
      </x:c>
      <x:c r="P7" s="9" t="n">
        <x:v>11804</x:v>
      </x:c>
      <x:c r="Q7" s="9" t="n">
        <x:v>1737</x:v>
      </x:c>
      <x:c r="R7" s="10" t="n">
        <x:f>Q7/P7</x:f>
        <x:v>0.14715350728566587</x:v>
      </x:c>
    </x:row>
    <x:row r="8">
      <x:c r="A8" s="7" t="str">
        <x:v>2015-10</x:v>
      </x:c>
      <x:c r="B8" s="9" t="n">
        <x:v>2700</x:v>
      </x:c>
      <x:c r="C8" s="9" t="n">
        <x:v>440</x:v>
      </x:c>
      <x:c r="D8" s="8" t="n">
        <x:v>213098.75</x:v>
      </x:c>
      <x:c r="E8" s="9" t="n">
        <x:v>2700</x:v>
      </x:c>
      <x:c r="F8" s="9" t="n">
        <x:v>8948</x:v>
      </x:c>
      <x:c r="G8" s="10" t="n">
        <x:f>C8/B8</x:f>
        <x:v>0.16296296296296298</x:v>
      </x:c>
      <x:c r="H8" s="11" t="n">
        <x:f>D8/E8</x:f>
        <x:v>78.92546296296297</x:v>
      </x:c>
      <x:c r="I8" s="7"/>
      <x:c r="J8" s="7" t="str">
        <x:v>91–180 days</x:v>
      </x:c>
      <x:c r="K8" s="9" t="n">
        <x:v>18243</x:v>
      </x:c>
      <x:c r="L8" s="9" t="n">
        <x:v>6382</x:v>
      </x:c>
      <x:c r="M8" s="10" t="n">
        <x:f>L8/K8</x:f>
        <x:v>0.3498328125856493</x:v>
      </x:c>
      <x:c r="N8" s="7"/>
      <x:c r="O8" s="7" t="str">
        <x:v>Groups</x:v>
      </x:c>
      <x:c r="P8" s="9" t="n">
        <x:v>4942</x:v>
      </x:c>
      <x:c r="Q8" s="9" t="n">
        <x:v>1335</x:v>
      </x:c>
      <x:c r="R8" s="10" t="n">
        <x:f>Q8/P8</x:f>
        <x:v>0.27013354917037635</x:v>
      </x:c>
    </x:row>
    <x:row r="9">
      <x:c r="A9" s="7" t="str">
        <x:v>2015-11</x:v>
      </x:c>
      <x:c r="B9" s="9" t="n">
        <x:v>1665</x:v>
      </x:c>
      <x:c r="C9" s="9" t="n">
        <x:v>243</x:v>
      </x:c>
      <x:c r="D9" s="8" t="n">
        <x:v>98628.5</x:v>
      </x:c>
      <x:c r="E9" s="9" t="n">
        <x:v>1665</x:v>
      </x:c>
      <x:c r="F9" s="9" t="n">
        <x:v>5499</x:v>
      </x:c>
      <x:c r="G9" s="10" t="n">
        <x:f>C9/B9</x:f>
        <x:v>0.14594594594594595</x:v>
      </x:c>
      <x:c r="H9" s="11" t="n">
        <x:f>D9/E9</x:f>
        <x:v>59.236336336336336</x:v>
      </x:c>
      <x:c r="I9" s="7"/>
      <x:c r="J9" s="7" t="str">
        <x:v>181+ days</x:v>
      </x:c>
      <x:c r="K9" s="9" t="n">
        <x:v>11765</x:v>
      </x:c>
      <x:c r="L9" s="9" t="n">
        <x:v>4675</x:v>
      </x:c>
      <x:c r="M9" s="10" t="n">
        <x:f>L9/K9</x:f>
        <x:v>0.3973650658733532</x:v>
      </x:c>
      <x:c r="N9" s="7"/>
      <x:c r="O9" s="7" t="str">
        <x:v>Corporate</x:v>
      </x:c>
      <x:c r="P9" s="9" t="n">
        <x:v>4212</x:v>
      </x:c>
      <x:c r="Q9" s="9" t="n">
        <x:v>510</x:v>
      </x:c>
      <x:c r="R9" s="10" t="n">
        <x:f>Q9/P9</x:f>
        <x:v>0.12108262108262108</x:v>
      </x:c>
    </x:row>
    <x:row r="10">
      <x:c r="A10" s="7" t="str">
        <x:v>2015-12</x:v>
      </x:c>
      <x:c r="B10" s="9" t="n">
        <x:v>1982</x:v>
      </x:c>
      <x:c r="C10" s="9" t="n">
        <x:v>372</x:v>
      </x:c>
      <x:c r="D10" s="8" t="n">
        <x:v>141792.86</x:v>
      </x:c>
      <x:c r="E10" s="9" t="n">
        <x:v>1982</x:v>
      </x:c>
      <x:c r="F10" s="9" t="n">
        <x:v>6186</x:v>
      </x:c>
      <x:c r="G10" s="10" t="n">
        <x:f>C10/B10</x:f>
        <x:v>0.18768920282542886</x:v>
      </x:c>
      <x:c r="H10" s="11" t="n">
        <x:f>D10/E10</x:f>
        <x:v>71.54029263370332</x:v>
      </x:c>
      <x:c r="I10" s="7"/>
      <x:c r="J10" s="7"/>
      <x:c r="K10" s="7"/>
      <x:c r="L10" s="7"/>
      <x:c r="M10" s="7"/>
      <x:c r="N10" s="7"/>
      <x:c r="O10" s="7" t="str">
        <x:v>Complementary</x:v>
      </x:c>
      <x:c r="P10" s="9" t="n">
        <x:v>702</x:v>
      </x:c>
      <x:c r="Q10" s="9" t="n">
        <x:v>88</x:v>
      </x:c>
      <x:c r="R10" s="10" t="n">
        <x:f>Q10/P10</x:f>
        <x:v>0.12535612535612536</x:v>
      </x:c>
    </x:row>
    <x:row r="11">
      <x:c r="A11" s="7" t="str">
        <x:v>2016-01</x:v>
      </x:c>
      <x:c r="B11" s="9" t="n">
        <x:v>1849</x:v>
      </x:c>
      <x:c r="C11" s="9" t="n">
        <x:v>301</x:v>
      </x:c>
      <x:c r="D11" s="8" t="n">
        <x:v>115929.45</x:v>
      </x:c>
      <x:c r="E11" s="9" t="n">
        <x:v>1849</x:v>
      </x:c>
      <x:c r="F11" s="9" t="n">
        <x:v>5313</x:v>
      </x:c>
      <x:c r="G11" s="10" t="n">
        <x:f>C11/B11</x:f>
        <x:v>0.16279069767441862</x:v>
      </x:c>
      <x:c r="H11" s="11" t="n">
        <x:f>D11/E11</x:f>
        <x:v>62.69845862628448</x:v>
      </x:c>
      <x:c r="I11" s="7"/>
      <x:c r="J11" s="7"/>
      <x:c r="K11" s="7"/>
      <x:c r="L11" s="7"/>
      <x:c r="M11" s="7"/>
      <x:c r="N11" s="7"/>
      <x:c r="O11" s="7" t="str">
        <x:v>Aviation</x:v>
      </x:c>
      <x:c r="P11" s="9" t="n">
        <x:v>227</x:v>
      </x:c>
      <x:c r="Q11" s="9" t="n">
        <x:v>45</x:v>
      </x:c>
      <x:c r="R11" s="10" t="n">
        <x:f>Q11/P11</x:f>
        <x:v>0.19823788546255505</x:v>
      </x:c>
    </x:row>
    <x:row r="12">
      <x:c r="A12" s="7" t="str">
        <x:v>2016-02</x:v>
      </x:c>
      <x:c r="B12" s="9" t="n">
        <x:v>2806</x:v>
      </x:c>
      <x:c r="C12" s="9" t="n">
        <x:v>528</x:v>
      </x:c>
      <x:c r="D12" s="8" t="n">
        <x:v>196228.53</x:v>
      </x:c>
      <x:c r="E12" s="9" t="n">
        <x:v>2806</x:v>
      </x:c>
      <x:c r="F12" s="9" t="n">
        <x:v>8524</x:v>
      </x:c>
      <x:c r="G12" s="10" t="n">
        <x:f>C12/B12</x:f>
        <x:v>0.18816821097647898</x:v>
      </x:c>
      <x:c r="H12" s="11" t="n">
        <x:f>D12/E12</x:f>
        <x:v>69.9317640769779</x:v>
      </x:c>
      <x:c r="I12" s="7"/>
      <x:c r="J12" s="7"/>
      <x:c r="K12" s="7"/>
      <x:c r="L12" s="7"/>
      <x:c r="M12" s="7"/>
      <x:c r="N12" s="7"/>
      <x:c r="O12" s="7" t="str">
        <x:v>Undefined</x:v>
      </x:c>
      <x:c r="P12" s="9" t="n">
        <x:v>2</x:v>
      </x:c>
      <x:c r="Q12" s="9" t="n">
        <x:v>2</x:v>
      </x:c>
      <x:c r="R12" s="10" t="n">
        <x:f>Q12/P12</x:f>
        <x:v>1</x:v>
      </x:c>
    </x:row>
    <x:row r="13">
      <x:c r="A13" s="7" t="str">
        <x:v>2016-03</x:v>
      </x:c>
      <x:c r="B13" s="9" t="n">
        <x:v>3830</x:v>
      </x:c>
      <x:c r="C13" s="9" t="n">
        <x:v>885</x:v>
      </x:c>
      <x:c r="D13" s="8" t="n">
        <x:v>299101.79</x:v>
      </x:c>
      <x:c r="E13" s="9" t="n">
        <x:v>3830</x:v>
      </x:c>
      <x:c r="F13" s="9" t="n">
        <x:v>12346</x:v>
      </x:c>
      <x:c r="G13" s="10" t="n">
        <x:f>C13/B13</x:f>
        <x:v>0.2310704960835509</x:v>
      </x:c>
      <x:c r="H13" s="11" t="n">
        <x:f>D13/E13</x:f>
        <x:v>78.09446214099216</x:v>
      </x:c>
      <x:c r="I13" s="7"/>
      <x:c r="J13" s="7"/>
      <x:c r="K13" s="7"/>
      <x:c r="L13" s="7"/>
      <x:c r="M13" s="7"/>
      <x:c r="N13" s="7"/>
      <x:c r="O13" s="7"/>
      <x:c r="P13" s="7"/>
      <x:c r="Q13" s="7"/>
      <x:c r="R13" s="7"/>
    </x:row>
    <x:row r="14">
      <x:c r="A14" s="7" t="str">
        <x:v>2016-04</x:v>
      </x:c>
      <x:c r="B14" s="9" t="n">
        <x:v>3770</x:v>
      </x:c>
      <x:c r="C14" s="9" t="n">
        <x:v>1014</x:v>
      </x:c>
      <x:c r="D14" s="8" t="n">
        <x:v>342966.9</x:v>
      </x:c>
      <x:c r="E14" s="9" t="n">
        <x:v>3770</x:v>
      </x:c>
      <x:c r="F14" s="9" t="n">
        <x:v>12509</x:v>
      </x:c>
      <x:c r="G14" s="10" t="n">
        <x:f>C14/B14</x:f>
        <x:v>0.2689655172413793</x:v>
      </x:c>
      <x:c r="H14" s="11" t="n">
        <x:f>D14/E14</x:f>
        <x:v>90.9726525198939</x:v>
      </x:c>
      <x:c r="I14" s="7"/>
      <x:c r="J14" s="7"/>
      <x:c r="K14" s="7"/>
      <x:c r="L14" s="7"/>
      <x:c r="M14" s="7"/>
      <x:c r="N14" s="7"/>
      <x:c r="O14" s="7"/>
      <x:c r="P14" s="7"/>
      <x:c r="Q14" s="7"/>
      <x:c r="R14" s="7"/>
    </x:row>
    <x:row r="15">
      <x:c r="A15" s="7" t="str">
        <x:v>2016-05</x:v>
      </x:c>
      <x:c r="B15" s="9" t="n">
        <x:v>3780</x:v>
      </x:c>
      <x:c r="C15" s="9" t="n">
        <x:v>941</x:v>
      </x:c>
      <x:c r="D15" s="8" t="n">
        <x:v>378333.54</x:v>
      </x:c>
      <x:c r="E15" s="9" t="n">
        <x:v>3780</x:v>
      </x:c>
      <x:c r="F15" s="9" t="n">
        <x:v>12978</x:v>
      </x:c>
      <x:c r="G15" s="10" t="n">
        <x:f>C15/B15</x:f>
        <x:v>0.24894179894179894</x:v>
      </x:c>
      <x:c r="H15" s="11" t="n">
        <x:f>D15/E15</x:f>
        <x:v>100.08823809523808</x:v>
      </x:c>
      <x:c r="I15" s="7"/>
      <x:c r="J15" s="7"/>
      <x:c r="K15" s="7"/>
      <x:c r="L15" s="7"/>
      <x:c r="M15" s="7"/>
      <x:c r="N15" s="7"/>
      <x:c r="O15" s="7"/>
      <x:c r="P15" s="7"/>
      <x:c r="Q15" s="7"/>
      <x:c r="R15" s="7"/>
    </x:row>
    <x:row r="16">
      <x:c r="A16" s="7" t="str">
        <x:v>2016-06</x:v>
      </x:c>
      <x:c r="B16" s="9" t="n">
        <x:v>3517</x:v>
      </x:c>
      <x:c r="C16" s="9" t="n">
        <x:v>911</x:v>
      </x:c>
      <x:c r="D16" s="8" t="n">
        <x:v>382879.44</x:v>
      </x:c>
      <x:c r="E16" s="9" t="n">
        <x:v>3517</x:v>
      </x:c>
      <x:c r="F16" s="9" t="n">
        <x:v>13358</x:v>
      </x:c>
      <x:c r="G16" s="10" t="n">
        <x:f>C16/B16</x:f>
        <x:v>0.2590275803241399</x:v>
      </x:c>
      <x:c r="H16" s="11" t="n">
        <x:f>D16/E16</x:f>
        <x:v>108.86535115154962</x:v>
      </x:c>
      <x:c r="I16" s="7"/>
      <x:c r="J16" s="7"/>
      <x:c r="K16" s="7"/>
      <x:c r="L16" s="7"/>
      <x:c r="M16" s="7"/>
      <x:c r="N16" s="7"/>
      <x:c r="O16" s="7"/>
      <x:c r="P16" s="7"/>
      <x:c r="Q16" s="7"/>
      <x:c r="R16" s="7"/>
    </x:row>
    <x:row r="17">
      <x:c r="A17" s="7" t="str">
        <x:v>2016-07</x:v>
      </x:c>
      <x:c r="B17" s="9" t="n">
        <x:v>3851</x:v>
      </x:c>
      <x:c r="C17" s="9" t="n">
        <x:v>1090</x:v>
      </x:c>
      <x:c r="D17" s="8" t="n">
        <x:v>506006.8</x:v>
      </x:c>
      <x:c r="E17" s="9" t="n">
        <x:v>3851</x:v>
      </x:c>
      <x:c r="F17" s="9" t="n">
        <x:v>15908</x:v>
      </x:c>
      <x:c r="G17" s="10" t="n">
        <x:f>C17/B17</x:f>
        <x:v>0.28304336535964686</x:v>
      </x:c>
      <x:c r="H17" s="11" t="n">
        <x:f>D17/E17</x:f>
        <x:v>131.39620877694105</x:v>
      </x:c>
      <x:c r="I17" s="7"/>
      <x:c r="J17" s="7"/>
      <x:c r="K17" s="7"/>
      <x:c r="L17" s="7"/>
      <x:c r="M17" s="7"/>
      <x:c r="N17" s="7"/>
      <x:c r="O17" s="7"/>
      <x:c r="P17" s="7"/>
      <x:c r="Q17" s="7"/>
      <x:c r="R17" s="7"/>
    </x:row>
    <x:row r="18">
      <x:c r="A18" s="7" t="str">
        <x:v>2016-08</x:v>
      </x:c>
      <x:c r="B18" s="9" t="n">
        <x:v>4423</x:v>
      </x:c>
      <x:c r="C18" s="9" t="n">
        <x:v>1442</x:v>
      </x:c>
      <x:c r="D18" s="8" t="n">
        <x:v>658292.64</x:v>
      </x:c>
      <x:c r="E18" s="9" t="n">
        <x:v>4423</x:v>
      </x:c>
      <x:c r="F18" s="9" t="n">
        <x:v>18000</x:v>
      </x:c>
      <x:c r="G18" s="10" t="n">
        <x:f>C18/B18</x:f>
        <x:v>0.3260230612706308</x:v>
      </x:c>
      <x:c r="H18" s="11" t="n">
        <x:f>D18/E18</x:f>
        <x:v>148.83396789509382</x:v>
      </x:c>
      <x:c r="I18" s="7"/>
      <x:c r="J18" s="7"/>
      <x:c r="K18" s="7"/>
      <x:c r="L18" s="7"/>
      <x:c r="M18" s="7"/>
      <x:c r="N18" s="7"/>
      <x:c r="O18" s="7"/>
      <x:c r="P18" s="7"/>
      <x:c r="Q18" s="7"/>
      <x:c r="R18" s="7"/>
    </x:row>
    <x:row r="19">
      <x:c r="A19" s="7" t="str">
        <x:v>2016-09</x:v>
      </x:c>
      <x:c r="B19" s="9" t="n">
        <x:v>3851</x:v>
      </x:c>
      <x:c r="C19" s="9" t="n">
        <x:v>1076</x:v>
      </x:c>
      <x:c r="D19" s="8" t="n">
        <x:v>466269.47</x:v>
      </x:c>
      <x:c r="E19" s="9" t="n">
        <x:v>3851</x:v>
      </x:c>
      <x:c r="F19" s="9" t="n">
        <x:v>14077</x:v>
      </x:c>
      <x:c r="G19" s="10" t="n">
        <x:f>C19/B19</x:f>
        <x:v>0.2794079459880551</x:v>
      </x:c>
      <x:c r="H19" s="11" t="n">
        <x:f>D19/E19</x:f>
        <x:v>121.0775045442742</x:v>
      </x:c>
      <x:c r="I19" s="7"/>
      <x:c r="J19" s="7"/>
      <x:c r="K19" s="7"/>
      <x:c r="L19" s="7"/>
      <x:c r="M19" s="7"/>
      <x:c r="N19" s="7"/>
      <x:c r="O19" s="7"/>
      <x:c r="P19" s="7"/>
      <x:c r="Q19" s="7"/>
      <x:c r="R19" s="7"/>
    </x:row>
    <x:row r="20">
      <x:c r="A20" s="7" t="str">
        <x:v>2016-10</x:v>
      </x:c>
      <x:c r="B20" s="9" t="n">
        <x:v>4234</x:v>
      </x:c>
      <x:c r="C20" s="9" t="n">
        <x:v>1202</x:v>
      </x:c>
      <x:c r="D20" s="8" t="n">
        <x:v>412018.81</x:v>
      </x:c>
      <x:c r="E20" s="9" t="n">
        <x:v>4234</x:v>
      </x:c>
      <x:c r="F20" s="9" t="n">
        <x:v>14035</x:v>
      </x:c>
      <x:c r="G20" s="10" t="n">
        <x:f>C20/B20</x:f>
        <x:v>0.2838923004251299</x:v>
      </x:c>
      <x:c r="H20" s="11" t="n">
        <x:f>D20/E20</x:f>
        <x:v>97.31195323571092</x:v>
      </x:c>
      <x:c r="I20" s="7"/>
      <x:c r="J20" s="7"/>
      <x:c r="K20" s="7"/>
      <x:c r="L20" s="7"/>
      <x:c r="M20" s="7"/>
      <x:c r="N20" s="7"/>
      <x:c r="O20" s="7"/>
      <x:c r="P20" s="7"/>
      <x:c r="Q20" s="7"/>
      <x:c r="R20" s="7"/>
    </x:row>
    <x:row r="21">
      <x:c r="A21" s="7" t="str">
        <x:v>2016-11</x:v>
      </x:c>
      <x:c r="B21" s="9" t="n">
        <x:v>3330</x:v>
      </x:c>
      <x:c r="C21" s="9" t="n">
        <x:v>811</x:v>
      </x:c>
      <x:c r="D21" s="8" t="n">
        <x:v>264780.03</x:v>
      </x:c>
      <x:c r="E21" s="9" t="n">
        <x:v>3330</x:v>
      </x:c>
      <x:c r="F21" s="9" t="n">
        <x:v>11136</x:v>
      </x:c>
      <x:c r="G21" s="10" t="n">
        <x:f>C21/B21</x:f>
        <x:v>0.24354354354354354</x:v>
      </x:c>
      <x:c r="H21" s="11" t="n">
        <x:f>D21/E21</x:f>
        <x:v>79.51352252252254</x:v>
      </x:c>
      <x:c r="I21" s="7"/>
      <x:c r="J21" s="7"/>
      <x:c r="K21" s="7"/>
      <x:c r="L21" s="7"/>
      <x:c r="M21" s="7"/>
      <x:c r="N21" s="7"/>
      <x:c r="O21" s="7"/>
      <x:c r="P21" s="7"/>
      <x:c r="Q21" s="7"/>
      <x:c r="R21" s="7"/>
    </x:row>
    <x:row r="22">
      <x:c r="A22" s="7" t="str">
        <x:v>2016-12</x:v>
      </x:c>
      <x:c r="B22" s="9" t="n">
        <x:v>3149</x:v>
      </x:c>
      <x:c r="C22" s="9" t="n">
        <x:v>1006</x:v>
      </x:c>
      <x:c r="D22" s="8" t="n">
        <x:v>276128.25</x:v>
      </x:c>
      <x:c r="E22" s="9" t="n">
        <x:v>3149</x:v>
      </x:c>
      <x:c r="F22" s="9" t="n">
        <x:v>10791</x:v>
      </x:c>
      <x:c r="G22" s="10" t="n">
        <x:f>C22/B22</x:f>
        <x:v>0.3194664973007304</x:v>
      </x:c>
      <x:c r="H22" s="11" t="n">
        <x:f>D22/E22</x:f>
        <x:v>87.68759923785329</x:v>
      </x:c>
      <x:c r="I22" s="7"/>
      <x:c r="J22" s="7"/>
      <x:c r="K22" s="7"/>
      <x:c r="L22" s="7"/>
      <x:c r="M22" s="7"/>
      <x:c r="N22" s="7"/>
      <x:c r="O22" s="7"/>
      <x:c r="P22" s="7"/>
      <x:c r="Q22" s="7"/>
      <x:c r="R22" s="7"/>
    </x:row>
    <x:row r="23">
      <x:c r="A23" s="7" t="str">
        <x:v>2017-01</x:v>
      </x:c>
      <x:c r="B23" s="9" t="n">
        <x:v>2844</x:v>
      </x:c>
      <x:c r="C23" s="9" t="n">
        <x:v>737</x:v>
      </x:c>
      <x:c r="D23" s="8" t="n">
        <x:v>212818.68</x:v>
      </x:c>
      <x:c r="E23" s="9" t="n">
        <x:v>2844</x:v>
      </x:c>
      <x:c r="F23" s="9" t="n">
        <x:v>9599</x:v>
      </x:c>
      <x:c r="G23" s="10" t="n">
        <x:f>C23/B23</x:f>
        <x:v>0.2591420534458509</x:v>
      </x:c>
      <x:c r="H23" s="11" t="n">
        <x:f>D23/E23</x:f>
        <x:v>74.83075949367088</x:v>
      </x:c>
      <x:c r="I23" s="7"/>
      <x:c r="J23" s="7"/>
      <x:c r="K23" s="7"/>
      <x:c r="L23" s="7"/>
      <x:c r="M23" s="7"/>
      <x:c r="N23" s="7"/>
      <x:c r="O23" s="7"/>
      <x:c r="P23" s="7"/>
      <x:c r="Q23" s="7"/>
      <x:c r="R23" s="7"/>
    </x:row>
    <x:row r="24">
      <x:c r="A24" s="7" t="str">
        <x:v>2017-02</x:v>
      </x:c>
      <x:c r="B24" s="9" t="n">
        <x:v>3292</x:v>
      </x:c>
      <x:c r="C24" s="9" t="n">
        <x:v>887</x:v>
      </x:c>
      <x:c r="D24" s="8" t="n">
        <x:v>259243.49</x:v>
      </x:c>
      <x:c r="E24" s="9" t="n">
        <x:v>3292</x:v>
      </x:c>
      <x:c r="F24" s="9" t="n">
        <x:v>11013</x:v>
      </x:c>
      <x:c r="G24" s="10" t="n">
        <x:f>C24/B24</x:f>
        <x:v>0.26944106925880923</x:v>
      </x:c>
      <x:c r="H24" s="11" t="n">
        <x:f>D24/E24</x:f>
        <x:v>78.74954131227217</x:v>
      </x:c>
      <x:c r="I24" s="7"/>
      <x:c r="J24" s="7"/>
      <x:c r="K24" s="7"/>
      <x:c r="L24" s="7"/>
      <x:c r="M24" s="7"/>
      <x:c r="N24" s="7"/>
      <x:c r="O24" s="7"/>
      <x:c r="P24" s="7"/>
      <x:c r="Q24" s="7"/>
      <x:c r="R24" s="7"/>
    </x:row>
    <x:row r="25">
      <x:c r="A25" s="7" t="str">
        <x:v>2017-03</x:v>
      </x:c>
      <x:c r="B25" s="9" t="n">
        <x:v>3682</x:v>
      </x:c>
      <x:c r="C25" s="9" t="n">
        <x:v>944</x:v>
      </x:c>
      <x:c r="D25" s="8" t="n">
        <x:v>308636.94</x:v>
      </x:c>
      <x:c r="E25" s="9" t="n">
        <x:v>3681</x:v>
      </x:c>
      <x:c r="F25" s="9" t="n">
        <x:v>13182</x:v>
      </x:c>
      <x:c r="G25" s="10" t="n">
        <x:f>C25/B25</x:f>
        <x:v>0.25638240086909286</x:v>
      </x:c>
      <x:c r="H25" s="11" t="n">
        <x:f>D25/E25</x:f>
        <x:v>83.84594947025265</x:v>
      </x:c>
      <x:c r="I25" s="7"/>
      <x:c r="J25" s="7"/>
      <x:c r="K25" s="7"/>
      <x:c r="L25" s="7"/>
      <x:c r="M25" s="7"/>
      <x:c r="N25" s="7"/>
      <x:c r="O25" s="7"/>
      <x:c r="P25" s="7"/>
      <x:c r="Q25" s="7"/>
      <x:c r="R25" s="7"/>
    </x:row>
    <x:row r="26">
      <x:c r="A26" s="7" t="str">
        <x:v>2017-04</x:v>
      </x:c>
      <x:c r="B26" s="9" t="n">
        <x:v>4138</x:v>
      </x:c>
      <x:c r="C26" s="9" t="n">
        <x:v>1395</x:v>
      </x:c>
      <x:c r="D26" s="8" t="n">
        <x:v>476401.45</x:v>
      </x:c>
      <x:c r="E26" s="9" t="n">
        <x:v>4138</x:v>
      </x:c>
      <x:c r="F26" s="9" t="n">
        <x:v>14725</x:v>
      </x:c>
      <x:c r="G26" s="10" t="n">
        <x:f>C26/B26</x:f>
        <x:v>0.3371193813436443</x:v>
      </x:c>
      <x:c r="H26" s="11" t="n">
        <x:f>D26/E26</x:f>
        <x:v>115.12843160947318</x:v>
      </x:c>
      <x:c r="I26" s="7"/>
      <x:c r="J26" s="7"/>
      <x:c r="K26" s="7"/>
      <x:c r="L26" s="7"/>
      <x:c r="M26" s="7"/>
      <x:c r="N26" s="7"/>
      <x:c r="O26" s="7"/>
      <x:c r="P26" s="7"/>
      <x:c r="Q26" s="7"/>
      <x:c r="R26" s="7"/>
    </x:row>
    <x:row r="27">
      <x:c r="A27" s="7" t="str">
        <x:v>2017-05</x:v>
      </x:c>
      <x:c r="B27" s="9" t="n">
        <x:v>4575</x:v>
      </x:c>
      <x:c r="C27" s="9" t="n">
        <x:v>1501</x:v>
      </x:c>
      <x:c r="D27" s="8" t="n">
        <x:v>550706.56</x:v>
      </x:c>
      <x:c r="E27" s="9" t="n">
        <x:v>4575</x:v>
      </x:c>
      <x:c r="F27" s="9" t="n">
        <x:v>16060</x:v>
      </x:c>
      <x:c r="G27" s="10" t="n">
        <x:f>C27/B27</x:f>
        <x:v>0.3280874316939891</x:v>
      </x:c>
      <x:c r="H27" s="11" t="n">
        <x:f>D27/E27</x:f>
        <x:v>120.37301857923498</x:v>
      </x:c>
      <x:c r="I27" s="7"/>
      <x:c r="J27" s="7"/>
      <x:c r="K27" s="7"/>
      <x:c r="L27" s="7"/>
      <x:c r="M27" s="7"/>
      <x:c r="N27" s="7"/>
      <x:c r="O27" s="7"/>
      <x:c r="P27" s="7"/>
      <x:c r="Q27" s="7"/>
      <x:c r="R27" s="7"/>
    </x:row>
    <x:row r="28">
      <x:c r="A28" s="7" t="str">
        <x:v>2017-06</x:v>
      </x:c>
      <x:c r="B28" s="9" t="n">
        <x:v>4248</x:v>
      </x:c>
      <x:c r="C28" s="9" t="n">
        <x:v>1443</x:v>
      </x:c>
      <x:c r="D28" s="8" t="n">
        <x:v>546980.24</x:v>
      </x:c>
      <x:c r="E28" s="9" t="n">
        <x:v>4248</x:v>
      </x:c>
      <x:c r="F28" s="9" t="n">
        <x:v>16572</x:v>
      </x:c>
      <x:c r="G28" s="10" t="n">
        <x:f>C28/B28</x:f>
        <x:v>0.3396892655367232</x:v>
      </x:c>
      <x:c r="H28" s="11" t="n">
        <x:f>D28/E28</x:f>
        <x:v>128.76182674199623</x:v>
      </x:c>
      <x:c r="I28" s="7"/>
      <x:c r="J28" s="7"/>
      <x:c r="K28" s="7"/>
      <x:c r="L28" s="7"/>
      <x:c r="M28" s="7"/>
      <x:c r="N28" s="7"/>
      <x:c r="O28" s="7"/>
      <x:c r="P28" s="7"/>
      <x:c r="Q28" s="7"/>
      <x:c r="R28" s="7"/>
    </x:row>
    <x:row r="29">
      <x:c r="A29" s="7" t="str">
        <x:v>2017-07</x:v>
      </x:c>
      <x:c r="B29" s="9" t="n">
        <x:v>4532</x:v>
      </x:c>
      <x:c r="C29" s="9" t="n">
        <x:v>1596</x:v>
      </x:c>
      <x:c r="D29" s="8" t="n">
        <x:v>668982.67</x:v>
      </x:c>
      <x:c r="E29" s="9" t="n">
        <x:v>4532</x:v>
      </x:c>
      <x:c r="F29" s="9" t="n">
        <x:v>18513</x:v>
      </x:c>
      <x:c r="G29" s="10" t="n">
        <x:f>C29/B29</x:f>
        <x:v>0.35216240070609</x:v>
      </x:c>
      <x:c r="H29" s="11" t="n">
        <x:f>D29/E29</x:f>
        <x:v>147.61312224183584</x:v>
      </x:c>
      <x:c r="I29" s="7"/>
      <x:c r="J29" s="7"/>
      <x:c r="K29" s="7"/>
      <x:c r="L29" s="7"/>
      <x:c r="M29" s="7"/>
      <x:c r="N29" s="7"/>
      <x:c r="O29" s="7"/>
      <x:c r="P29" s="7"/>
      <x:c r="Q29" s="7"/>
      <x:c r="R29" s="7"/>
    </x:row>
    <x:row r="30">
      <x:c r="A30" s="7" t="str">
        <x:v>2017-08</x:v>
      </x:c>
      <x:c r="B30" s="9" t="n">
        <x:v>4381</x:v>
      </x:c>
      <x:c r="C30" s="9" t="n">
        <x:v>1610</x:v>
      </x:c>
      <x:c r="D30" s="8" t="n">
        <x:v>738414.6</x:v>
      </x:c>
      <x:c r="E30" s="9" t="n">
        <x:v>4381</x:v>
      </x:c>
      <x:c r="F30" s="9" t="n">
        <x:v>18248</x:v>
      </x:c>
      <x:c r="G30" s="10" t="n">
        <x:f>C30/B30</x:f>
        <x:v>0.3674960054782013</x:v>
      </x:c>
      <x:c r="H30" s="11" t="n">
        <x:f>D30/E30</x:f>
        <x:v>168.54932663775392</x:v>
      </x:c>
      <x:c r="I30" s="7"/>
      <x:c r="J30" s="7"/>
      <x:c r="K30" s="7"/>
      <x:c r="L30" s="7"/>
      <x:c r="M30" s="7"/>
      <x:c r="N30" s="7"/>
      <x:c r="O30" s="7"/>
      <x:c r="P30" s="7"/>
      <x:c r="Q30" s="7"/>
      <x:c r="R30" s="7"/>
    </x:row>
  </x:sheetData>
  <x:pageMargins left="0.7" right="0.7" top="0.75" bottom="0.75" header="0.3" footer="0.3"/>
</x:worksheet>
</file>